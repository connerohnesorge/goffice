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/xl/workbook.xml"></Relationship>
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Results" sheetId="1" r:id="rId1"/>
    <x:sheet xmlns:r="http://schemas.openxmlformats.org/officeDocument/2006/relationships" name="Analysis" sheetId="2" r:id="rId3"/>
    <x:sheet xmlns:r="http://schemas.openxmlformats.org/officeDocument/2006/relationships" name="Training Curve" sheetId="3" r:id="rId4"/>
    <x:sheet xmlns:r="http://schemas.openxmlformats.org/officeDocument/2006/relationships" name="Hyperparameter Search" sheetId="4" r:id="rId5"/>
  </x:sheets>
</x:workbook>
</file>

<file path=xl/sharedStrings.xml><?xml version="1.0" encoding="utf-8"?>
<x:sst xmlns:x="http://schemas.openxmlformats.org/spreadsheetml/2006/main" xmlns="http://schemas.openxmlformats.org/spreadsheetml/2006/main" count="0" uniqueCount="44">
  <x:si>
    <x:t>Deep Learning Model Performance Comparison</x:t>
  </x:si>
  <x:si>
    <x:t>Neural Network Architecture Benchmark</x:t>
  </x:si>
  <x:si>
    <x:t>Model Name</x:t>
  </x:si>
  <x:si>
    <x:t>Parameters (M)</x:t>
  </x:si>
  <x:si>
    <x:t>Training Time (hrs)</x:t>
  </x:si>
  <x:si>
    <x:t>Inference Speed (imgs/sec)</x:t>
  </x:si>
  <x:si>
    <x:t>ImageNet Top-1 Acc %</x:t>
  </x:si>
  <x:si>
    <x:t>ImageNet Top-5 Acc %</x:t>
  </x:si>
  <x:si>
    <x:t>COCO mAP</x:t>
  </x:si>
  <x:si>
    <x:t>Memory (GB)</x:t>
  </x:si>
  <x:si>
    <x:t>ResNet-50</x:t>
  </x:si>
  <x:si>
    <x:t>ResNet-101</x:t>
  </x:si>
  <x:si>
    <x:t>EfficientNet-B0</x:t>
  </x:si>
  <x:si>
    <x:t>EfficientNet-B4</x:t>
  </x:si>
  <x:si>
    <x:t>Vision Transformer-B</x:t>
  </x:si>
  <x:si>
    <x:t>YOLO-v8n</x:t>
  </x:si>
  <x:si>
    <x:t>YOLO-v8s</x:t>
  </x:si>
  <x:si>
    <x:t>YOLO-v8m</x:t>
  </x:si>
  <x:si>
    <x:t>Swin-Transformer-T</x:t>
  </x:si>
  <x:si>
    <x:t>ConvNeXt-T</x:t>
  </x:si>
  <x:si>
    <x:t>Model Performance Analysis</x:t>
  </x:si>
  <x:si>
    <x:t>Params (M)</x:t>
  </x:si>
  <x:si>
    <x:t>Accuracy (Top-1 %)</x:t>
  </x:si>
  <x:si>
    <x:t>Efficiency Score</x:t>
  </x:si>
  <x:si>
    <x:t>Params-per-Accuracy</x:t>
  </x:si>
  <x:si>
    <x:t>Speed Ranking</x:t>
  </x:si>
  <x:si>
    <x:t>Accuracy Gain vs ResNet-50</x:t>
  </x:si>
  <x:si>
    <x:t>Memory per Accuracy</x:t>
  </x:si>
  <x:si>
    <x:t>Training Progress - Loss and Accuracy</x:t>
  </x:si>
  <x:si>
    <x:t>Epoch</x:t>
  </x:si>
  <x:si>
    <x:t>Training Loss</x:t>
  </x:si>
  <x:si>
    <x:t>Validation Loss</x:t>
  </x:si>
  <x:si>
    <x:t>Training Accuracy %</x:t>
  </x:si>
  <x:si>
    <x:t>Validation Accuracy %</x:t>
  </x:si>
  <x:si>
    <x:t>Learning Rate</x:t>
  </x:si>
  <x:si>
    <x:t>Overfitting Gap (Val-Train)</x:t>
  </x:si>
  <x:si>
    <x:t>Hyperparameter Tuning Results</x:t>
  </x:si>
  <x:si>
    <x:t>Experiment</x:t>
  </x:si>
  <x:si>
    <x:t>Batch Size</x:t>
  </x:si>
  <x:si>
    <x:t>Weight Decay</x:t>
  </x:si>
  <x:si>
    <x:t>Warmup Steps</x:t>
  </x:si>
  <x:si>
    <x:t>Final Accuracy %</x:t>
  </x:si>
  <x:si>
    <x:t>Convergence Time (hrs)</x:t>
  </x:si>
  <x:si>
    <x:t>Accuracy per Hour</x:t>
  </x:si>
</x:sst>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/xl/worksheets/sheet1.xml"></Relationship>
  <Relationship Id="rId2" Type="http://schemas.openxmlformats.org/officeDocument/2006/relationships/sharedStrings" Target="/xl/sharedStrings.xml"></Relationship>
  <Relationship Id="rId3" Type="http://schemas.openxmlformats.org/officeDocument/2006/relationships/worksheet" Target="/xl/worksheets/sheet2.xml"></Relationship>
  <Relationship Id="rId4" Type="http://schemas.openxmlformats.org/officeDocument/2006/relationships/worksheet" Target="/xl/worksheets/sheet3.xml"></Relationship>
  <Relationship Id="rId5" Type="http://schemas.openxmlformats.org/officeDocument/2006/relationships/worksheet" Target="/xl/worksheets/sheet4.xml"></Relationship>
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Model Accuracy Comparison (ImageNet Top-1 %)</a:t>
            </a:r>
          </a:p>
        </c:rich>
      </c:tx>
    </c:title>
    <c:autoTitleDeleted val="0"/>
    <c:plotArea>
      <c:barChart>
        <c:barDir val="col"/>
        <c:grouping val="clustered"/>
        <c:varyColors val="0"/>
        <c:axId val="100000000"/>
        <c:axId val="100000001"/>
      </c:barChart>
      <c:catAx>
        <c:axId val="100000000"/>
        <c:scaling>
          <c:orientation val="minMax"/>
        </c:scaling>
        <c:axPos val="b"/>
        <c:crossAx val="100000001"/>
      </c:catAx>
      <c:valAx>
        <c:axId val="100000001"/>
        <c:scaling>
          <c:orientation val="minMax"/>
        </c:scaling>
        <c:axPos val="l"/>
        <c:crossAx val="100000000"/>
      </c:valAx>
    </c:plotArea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Model Parameters vs Accuracy Trade-off</a:t>
            </a:r>
          </a:p>
        </c:rich>
      </c:tx>
    </c:title>
    <c:autoTitleDeleted val="0"/>
    <c:plotArea>
      <c:scatterChart>
        <c:scatterStyle val="marker"/>
        <c:varyColors val="0"/>
        <c:axId val="100000000"/>
        <c:axId val="100000001"/>
      </c:scatterChart>
      <c:catAx>
        <c:axId val="100000000"/>
        <c:scaling>
          <c:orientation val="minMax"/>
        </c:scaling>
        <c:axPos val="b"/>
        <c:crossAx val="100000001"/>
      </c:catAx>
      <c:valAx>
        <c:axId val="100000001"/>
        <c:scaling>
          <c:orientation val="minMax"/>
        </c:scaling>
        <c:axPos val="l"/>
        <c:crossAx val="100000000"/>
      </c:valAx>
    </c:plotArea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Training vs Validation Accuracy Over Epochs</a:t>
            </a:r>
          </a:p>
        </c:rich>
      </c:tx>
    </c:title>
    <c:autoTitleDeleted val="0"/>
    <c:plotArea>
      <c:lineChart>
        <c:grouping val="standard"/>
        <c:varyColors val="0"/>
        <c:axId val="100000000"/>
        <c:axId val="100000001"/>
      </c:lineChart>
      <c:catAx>
        <c:axId val="100000000"/>
        <c:scaling>
          <c:orientation val="minMax"/>
        </c:scaling>
        <c:axPos val="b"/>
        <c:crossAx val="100000001"/>
      </c:catAx>
      <c:valAx>
        <c:axId val="100000001"/>
        <c:scaling>
          <c:orientation val="minMax"/>
        </c:scaling>
        <c:axPos val="l"/>
        <c:crossAx val="100000000"/>
      </c:valAx>
    </c:plotArea>
  </c:chart>
</c:chartSpace>
</file>

<file path=xl/drawings/_rels/drawing1.xml.rels><?xml version="1.0" encoding="UTF-8"?>
<Relationships xmlns="http://schemas.openxmlformats.org/package/2006/relationships">
  <Relationship Id="rId1" Type="http://schemas.openxmlformats.org/officeDocument/2006/relationships/chart" Target="/xl/charts/chart1.xml"></Relationship>
</Relationships>
</file>

<file path=xl/drawings/_rels/drawing2.xml.rels><?xml version="1.0" encoding="UTF-8"?>
<Relationships xmlns="http://schemas.openxmlformats.org/package/2006/relationships">
  <Relationship Id="rId1" Type="http://schemas.openxmlformats.org/officeDocument/2006/relationships/chart" Target="/xl/charts/chart2.xml"></Relationship>
</Relationships>
</file>

<file path=xl/drawings/_rels/drawing3.xml.rels><?xml version="1.0" encoding="UTF-8"?>
<Relationships xmlns="http://schemas.openxmlformats.org/package/2006/relationships">
  <Relationship Id="rId1" Type="http://schemas.openxmlformats.org/officeDocument/2006/relationships/chart" Target="/xl/charts/chart3.xml"></Relationship>
</Relationships>
</file>

<file path=xl/drawings/drawing1.xml><?xml version="1.0" encoding="utf-8"?>
<xdr:wsDr xmlns:xdr="http://schemas.openxmlformats.org/drawingml/2006/spreadsheetDrawing" xmlns:a="http://schemas.openxmlformats.org/drawingml/2006/main">
</xdr:wsDr>
</file>

<file path=xl/drawings/drawing2.xml><?xml version="1.0" encoding="utf-8"?>
<xdr:wsDr xmlns:xdr="http://schemas.openxmlformats.org/drawingml/2006/spreadsheetDrawing" xmlns:a="http://schemas.openxmlformats.org/drawingml/2006/main">
</xdr:wsDr>
</file>

<file path=xl/drawings/drawing3.xml><?xml version="1.0" encoding="utf-8"?>
<xdr:wsDr xmlns:xdr="http://schemas.openxmlformats.org/drawingml/2006/spreadsheetDrawing" xmlns:a="http://schemas.openxmlformats.org/drawingml/2006/main">
</xdr:wsDr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drawing" Target="/xl/drawings/drawing1.xml"></Relationship>
</Relationships>
</file>

<file path=xl/worksheets/_rels/sheet2.xml.rels><?xml version="1.0" encoding="UTF-8"?>
<Relationships xmlns="http://schemas.openxmlformats.org/package/2006/relationships">
  <Relationship Id="rId1" Type="http://schemas.openxmlformats.org/officeDocument/2006/relationships/drawing" Target="/xl/drawings/drawing2.xml"></Relationship>
</Relationships>
</file>

<file path=xl/worksheets/_rels/sheet3.xml.rels><?xml version="1.0" encoding="UTF-8"?>
<Relationships xmlns="http://schemas.openxmlformats.org/package/2006/relationships">
  <Relationship Id="rId1" Type="http://schemas.openxmlformats.org/officeDocument/2006/relationships/drawing" Target="/xl/drawings/drawing3.xml"></Relationship>
</Relationships>
</file>

<file path=xl/worksheets/sheet1.xml><?xml version="1.0" encoding="utf-8"?>
<x:worksheet xmlns:x="http://schemas.openxmlformats.org/spreadsheetml/2006/main">
  <sheetData>
    <x:row r="1">
      <x:c r="A1" t="s">
        <x:v>0</x:v>
      </x:c>
    </x:row>
    <x:row r="2">
      <x:c r="A2" t="s">
        <x:v>1</x:v>
      </x:c>
    </x:row>
    <x:row r="4">
      <x:c r="A4" t="s">
        <x:v>2</x:v>
      </x:c>
      <x:c r="B4" t="s">
        <x:v>3</x:v>
      </x:c>
      <x:c r="C4" t="s">
        <x:v>4</x:v>
      </x:c>
      <x:c r="D4" t="s">
        <x:v>5</x:v>
      </x:c>
      <x:c r="E4" t="s">
        <x:v>6</x:v>
      </x:c>
      <x:c r="F4" t="s">
        <x:v>7</x:v>
      </x:c>
      <x:c r="G4" t="s">
        <x:v>8</x:v>
      </x:c>
      <x:c r="H4" t="s">
        <x:v>9</x:v>
      </x:c>
    </x:row>
    <x:row r="5">
      <x:c r="A5" t="s">
        <x:v>10</x:v>
      </x:c>
      <x:c r="B5">
        <x:v>25.5</x:v>
      </x:c>
      <x:c r="C5">
        <x:v>48.2</x:v>
      </x:c>
      <x:c r="D5">
        <x:v>1250</x:v>
      </x:c>
      <x:c r="E5">
        <x:v>76.1</x:v>
      </x:c>
      <x:c r="F5">
        <x:v>92.9</x:v>
      </x:c>
      <x:c r="G5">
        <x:v>37.2</x:v>
      </x:c>
      <x:c r="H5">
        <x:v>2.1</x:v>
      </x:c>
    </x:row>
    <x:row r="6">
      <x:c r="A6" t="s">
        <x:v>11</x:v>
      </x:c>
      <x:c r="B6">
        <x:v>44.5</x:v>
      </x:c>
      <x:c r="C6">
        <x:v>72.5</x:v>
      </x:c>
      <x:c r="D6">
        <x:v>890</x:v>
      </x:c>
      <x:c r="E6">
        <x:v>77.8</x:v>
      </x:c>
      <x:c r="F6">
        <x:v>93.7</x:v>
      </x:c>
      <x:c r="G6">
        <x:v>39.1</x:v>
      </x:c>
      <x:c r="H6">
        <x:v>3.2</x:v>
      </x:c>
    </x:row>
    <x:row r="7">
      <x:c r="A7" t="s">
        <x:v>12</x:v>
      </x:c>
      <x:c r="B7">
        <x:v>5.3</x:v>
      </x:c>
      <x:c r="C7">
        <x:v>36.1</x:v>
      </x:c>
      <x:c r="D7">
        <x:v>2150</x:v>
      </x:c>
      <x:c r="E7">
        <x:v>77.1</x:v>
      </x:c>
      <x:c r="F7">
        <x:v>93.5</x:v>
      </x:c>
      <x:c r="G7">
        <x:v>38.4</x:v>
      </x:c>
      <x:c r="H7">
        <x:v>0.9</x:v>
      </x:c>
    </x:row>
    <x:row r="8">
      <x:c r="A8" t="s">
        <x:v>13</x:v>
      </x:c>
      <x:c r="B8">
        <x:v>19.3</x:v>
      </x:c>
      <x:c r="C8">
        <x:v>98.5</x:v>
      </x:c>
      <x:c r="D8">
        <x:v>1050</x:v>
      </x:c>
      <x:c r="E8">
        <x:v>82.9</x:v>
      </x:c>
      <x:c r="F8">
        <x:v>96.3</x:v>
      </x:c>
      <x:c r="G8">
        <x:v>42.8</x:v>
      </x:c>
      <x:c r="H8">
        <x:v>2.8</x:v>
      </x:c>
    </x:row>
    <x:row r="9">
      <x:c r="A9" t="s">
        <x:v>14</x:v>
      </x:c>
      <x:c r="B9">
        <x:v>86.6</x:v>
      </x:c>
      <x:c r="C9">
        <x:v>156</x:v>
      </x:c>
      <x:c r="D9">
        <x:v>850</x:v>
      </x:c>
      <x:c r="E9">
        <x:v>81.1</x:v>
      </x:c>
      <x:c r="F9">
        <x:v>95.3</x:v>
      </x:c>
      <x:c r="G9">
        <x:v>40.5</x:v>
      </x:c>
      <x:c r="H9">
        <x:v>4.2</x:v>
      </x:c>
    </x:row>
    <x:row r="10">
      <x:c r="A10" t="s">
        <x:v>15</x:v>
      </x:c>
      <x:c r="B10">
        <x:v>3.2</x:v>
      </x:c>
      <x:c r="C10">
        <x:v>24</x:v>
      </x:c>
      <x:c r="D10">
        <x:v>3500</x:v>
      </x:c>
      <x:c r="E10">
        <x:v>72.5</x:v>
      </x:c>
      <x:c r="F10">
        <x:v>90.1</x:v>
      </x:c>
      <x:c r="G10">
        <x:v>35.6</x:v>
      </x:c>
      <x:c r="H10">
        <x:v>0.6</x:v>
      </x:c>
    </x:row>
    <x:row r="11">
      <x:c r="A11" t="s">
        <x:v>16</x:v>
      </x:c>
      <x:c r="B11">
        <x:v>11.2</x:v>
      </x:c>
      <x:c r="C11">
        <x:v>42</x:v>
      </x:c>
      <x:c r="D11">
        <x:v>2800</x:v>
      </x:c>
      <x:c r="E11">
        <x:v>75.2</x:v>
      </x:c>
      <x:c r="F11">
        <x:v>91.8</x:v>
      </x:c>
      <x:c r="G11">
        <x:v>37.9</x:v>
      </x:c>
      <x:c r="H11">
        <x:v>1.2</x:v>
      </x:c>
    </x:row>
    <x:row r="12">
      <x:c r="A12" t="s">
        <x:v>17</x:v>
      </x:c>
      <x:c r="B12">
        <x:v>25.9</x:v>
      </x:c>
      <x:c r="C12">
        <x:v>68</x:v>
      </x:c>
      <x:c r="D12">
        <x:v>1950</x:v>
      </x:c>
      <x:c r="E12">
        <x:v>79.3</x:v>
      </x:c>
      <x:c r="F12">
        <x:v>94.1</x:v>
      </x:c>
      <x:c r="G12">
        <x:v>40.2</x:v>
      </x:c>
      <x:c r="H12">
        <x:v>2.3</x:v>
      </x:c>
    </x:row>
    <x:row r="13">
      <x:c r="A13" t="s">
        <x:v>18</x:v>
      </x:c>
      <x:c r="B13">
        <x:v>28.3</x:v>
      </x:c>
      <x:c r="C13">
        <x:v>120</x:v>
      </x:c>
      <x:c r="D13">
        <x:v>720</x:v>
      </x:c>
      <x:c r="E13">
        <x:v>81.5</x:v>
      </x:c>
      <x:c r="F13">
        <x:v>95.5</x:v>
      </x:c>
      <x:c r="G13">
        <x:v>41.1</x:v>
      </x:c>
      <x:c r="H13">
        <x:v>3.5</x:v>
      </x:c>
    </x:row>
    <x:row r="14">
      <x:c r="A14" t="s">
        <x:v>19</x:v>
      </x:c>
      <x:c r="B14">
        <x:v>28.6</x:v>
      </x:c>
      <x:c r="C14">
        <x:v>110</x:v>
      </x:c>
      <x:c r="D14">
        <x:v>950</x:v>
      </x:c>
      <x:c r="E14">
        <x:v>82.1</x:v>
      </x:c>
      <x:c r="F14">
        <x:v>95.9</x:v>
      </x:c>
      <x:c r="G14">
        <x:v>41.8</x:v>
      </x:c>
      <x:c r="H14">
        <x:v>3.3</x:v>
      </x:c>
    </x:row>
  </sheetData>
</x:worksheet>
</file>

<file path=xl/worksheets/sheet2.xml><?xml version="1.0" encoding="utf-8"?>
<x:worksheet xmlns:x="http://schemas.openxmlformats.org/spreadsheetml/2006/main">
  <sheetData>
    <x:row r="1">
      <x:c r="A1" t="s">
        <x:v>20</x:v>
      </x:c>
    </x:row>
    <x:row r="3">
      <x:c r="A3" t="s">
        <x:v>2</x:v>
      </x:c>
      <x:c r="B3" t="s">
        <x:v>21</x:v>
      </x:c>
      <x:c r="C3" t="s">
        <x:v>22</x:v>
      </x:c>
      <x:c r="D3" t="s">
        <x:v>23</x:v>
      </x:c>
      <x:c r="E3" t="s">
        <x:v>24</x:v>
      </x:c>
      <x:c r="F3" t="s">
        <x:v>25</x:v>
      </x:c>
      <x:c r="G3" t="s">
        <x:v>26</x:v>
      </x:c>
      <x:c r="H3" t="s">
        <x:v>27</x:v>
      </x:c>
    </x:row>
    <x:row r="4">
      <x:c r="A4" t="s">
        <x:v>10</x:v>
      </x:c>
      <x:c r="B4">
        <x:v>25.5</x:v>
      </x:c>
      <x:c r="C4">
        <x:v>76.1</x:v>
      </x:c>
      <x:c r="D4">
        <x:f>=C4/B4</x:f>
      </x:c>
      <x:c r="E4">
        <x:f>=B4/(C4-50)</x:f>
      </x:c>
      <x:c r="G4">
        <x:f>=C4-$C$4</x:f>
      </x:c>
      <x:c r="H4">
        <x:f>=B4*1.5/(C4-50)</x:f>
      </x:c>
    </x:row>
    <x:row r="5">
      <x:c r="A5" t="s">
        <x:v>11</x:v>
      </x:c>
      <x:c r="B5">
        <x:v>44.5</x:v>
      </x:c>
      <x:c r="C5">
        <x:v>77.8</x:v>
      </x:c>
      <x:c r="D5">
        <x:f>=C5/B5</x:f>
      </x:c>
      <x:c r="E5">
        <x:f>=B5/(C5-50)</x:f>
      </x:c>
      <x:c r="G5">
        <x:f>=C5-$C$4</x:f>
      </x:c>
      <x:c r="H5">
        <x:f>=B5*1.5/(C5-50)</x:f>
      </x:c>
    </x:row>
    <x:row r="6">
      <x:c r="A6" t="s">
        <x:v>12</x:v>
      </x:c>
      <x:c r="B6">
        <x:v>5.3</x:v>
      </x:c>
      <x:c r="C6">
        <x:v>77.1</x:v>
      </x:c>
      <x:c r="D6">
        <x:f>=C6/B6</x:f>
      </x:c>
      <x:c r="E6">
        <x:f>=B6/(C6-50)</x:f>
      </x:c>
      <x:c r="G6">
        <x:f>=C6-$C$4</x:f>
      </x:c>
      <x:c r="H6">
        <x:f>=B6*1.5/(C6-50)</x:f>
      </x:c>
    </x:row>
    <x:row r="7">
      <x:c r="A7" t="s">
        <x:v>13</x:v>
      </x:c>
      <x:c r="B7">
        <x:v>19.3</x:v>
      </x:c>
      <x:c r="C7">
        <x:v>82.9</x:v>
      </x:c>
      <x:c r="D7">
        <x:f>=C7/B7</x:f>
      </x:c>
      <x:c r="E7">
        <x:f>=B7/(C7-50)</x:f>
      </x:c>
      <x:c r="G7">
        <x:f>=C7-$C$4</x:f>
      </x:c>
      <x:c r="H7">
        <x:f>=B7*1.5/(C7-50)</x:f>
      </x:c>
    </x:row>
    <x:row r="8">
      <x:c r="A8" t="s">
        <x:v>14</x:v>
      </x:c>
      <x:c r="B8">
        <x:v>86.6</x:v>
      </x:c>
      <x:c r="C8">
        <x:v>81.1</x:v>
      </x:c>
      <x:c r="D8">
        <x:f>=C8/B8</x:f>
      </x:c>
      <x:c r="E8">
        <x:f>=B8/(C8-50)</x:f>
      </x:c>
      <x:c r="G8">
        <x:f>=C8-$C$4</x:f>
      </x:c>
      <x:c r="H8">
        <x:f>=B8*1.5/(C8-50)</x:f>
      </x:c>
    </x:row>
    <x:row r="9">
      <x:c r="A9" t="s">
        <x:v>15</x:v>
      </x:c>
      <x:c r="B9">
        <x:v>3.2</x:v>
      </x:c>
      <x:c r="C9">
        <x:v>72.5</x:v>
      </x:c>
      <x:c r="D9">
        <x:f>=C9/B9</x:f>
      </x:c>
      <x:c r="E9">
        <x:f>=B9/(C9-50)</x:f>
      </x:c>
      <x:c r="G9">
        <x:f>=C9-$C$4</x:f>
      </x:c>
      <x:c r="H9">
        <x:f>=B9*1.5/(C9-50)</x:f>
      </x:c>
    </x:row>
    <x:row r="10">
      <x:c r="A10" t="s">
        <x:v>16</x:v>
      </x:c>
      <x:c r="B10">
        <x:v>11.2</x:v>
      </x:c>
      <x:c r="C10">
        <x:v>75.2</x:v>
      </x:c>
      <x:c r="D10">
        <x:f>=C10/B10</x:f>
      </x:c>
      <x:c r="E10">
        <x:f>=B10/(C10-50)</x:f>
      </x:c>
      <x:c r="G10">
        <x:f>=C10-$C$4</x:f>
      </x:c>
      <x:c r="H10">
        <x:f>=B10*1.5/(C10-50)</x:f>
      </x:c>
    </x:row>
    <x:row r="11">
      <x:c r="A11" t="s">
        <x:v>17</x:v>
      </x:c>
      <x:c r="B11">
        <x:v>25.9</x:v>
      </x:c>
      <x:c r="C11">
        <x:v>79.3</x:v>
      </x:c>
      <x:c r="D11">
        <x:f>=C11/B11</x:f>
      </x:c>
      <x:c r="E11">
        <x:f>=B11/(C11-50)</x:f>
      </x:c>
      <x:c r="G11">
        <x:f>=C11-$C$4</x:f>
      </x:c>
      <x:c r="H11">
        <x:f>=B11*1.5/(C11-50)</x:f>
      </x:c>
    </x:row>
    <x:row r="12">
      <x:c r="A12" t="s">
        <x:v>18</x:v>
      </x:c>
      <x:c r="B12">
        <x:v>28.3</x:v>
      </x:c>
      <x:c r="C12">
        <x:v>81.5</x:v>
      </x:c>
      <x:c r="D12">
        <x:f>=C12/B12</x:f>
      </x:c>
      <x:c r="E12">
        <x:f>=B12/(C12-50)</x:f>
      </x:c>
      <x:c r="G12">
        <x:f>=C12-$C$4</x:f>
      </x:c>
      <x:c r="H12">
        <x:f>=B12*1.5/(C12-50)</x:f>
      </x:c>
    </x:row>
    <x:row r="13">
      <x:c r="A13" t="s">
        <x:v>19</x:v>
      </x:c>
      <x:c r="B13">
        <x:v>28.6</x:v>
      </x:c>
      <x:c r="C13">
        <x:v>82.1</x:v>
      </x:c>
      <x:c r="D13">
        <x:f>=C13/B13</x:f>
      </x:c>
      <x:c r="E13">
        <x:f>=B13/(C13-50)</x:f>
      </x:c>
      <x:c r="G13">
        <x:f>=C13-$C$4</x:f>
      </x:c>
      <x:c r="H13">
        <x:f>=B13*1.5/(C13-50)</x:f>
      </x:c>
    </x:row>
  </sheetData>
</x:worksheet>
</file>

<file path=xl/worksheets/sheet3.xml><?xml version="1.0" encoding="utf-8"?>
<x:worksheet xmlns:x="http://schemas.openxmlformats.org/spreadsheetml/2006/main">
  <sheetData>
    <x:row r="1">
      <x:c r="A1" t="s">
        <x:v>28</x:v>
      </x:c>
    </x:row>
    <x:row r="3">
      <x:c r="A3" t="s">
        <x:v>29</x:v>
      </x:c>
      <x:c r="B3" t="s">
        <x:v>30</x:v>
      </x:c>
      <x:c r="C3" t="s">
        <x:v>31</x:v>
      </x:c>
      <x:c r="D3" t="s">
        <x:v>32</x:v>
      </x:c>
      <x:c r="E3" t="s">
        <x:v>33</x:v>
      </x:c>
      <x:c r="F3" t="s">
        <x:v>34</x:v>
      </x:c>
      <x:c r="G3" t="s">
        <x:v>35</x:v>
      </x:c>
    </x:row>
    <x:row r="4">
      <x:c r="A4">
        <x:v>1</x:v>
      </x:c>
      <x:c r="B4">
        <x:v>2.302</x:v>
      </x:c>
      <x:c r="C4">
        <x:v>2.298</x:v>
      </x:c>
      <x:c r="D4">
        <x:v>12.5</x:v>
      </x:c>
      <x:c r="E4">
        <x:v>15.2</x:v>
      </x:c>
      <x:c r="F4">
        <x:v>0.001</x:v>
      </x:c>
      <x:c r="G4">
        <x:f>=C4-B4</x:f>
      </x:c>
    </x:row>
    <x:row r="5">
      <x:c r="A5">
        <x:v>2</x:v>
      </x:c>
      <x:c r="B5">
        <x:v>1.956</x:v>
      </x:c>
      <x:c r="C5">
        <x:v>1.845</x:v>
      </x:c>
      <x:c r="D5">
        <x:v>28.3</x:v>
      </x:c>
      <x:c r="E5">
        <x:v>35.1</x:v>
      </x:c>
      <x:c r="F5">
        <x:v>0.001</x:v>
      </x:c>
      <x:c r="G5">
        <x:f>=C5-B5</x:f>
      </x:c>
    </x:row>
    <x:row r="6">
      <x:c r="A6">
        <x:v>3</x:v>
      </x:c>
      <x:c r="B6">
        <x:v>1.542</x:v>
      </x:c>
      <x:c r="C6">
        <x:v>1.423</x:v>
      </x:c>
      <x:c r="D6">
        <x:v>42.7</x:v>
      </x:c>
      <x:c r="E6">
        <x:v>48.9</x:v>
      </x:c>
      <x:c r="F6">
        <x:v>0.001</x:v>
      </x:c>
      <x:c r="G6">
        <x:f>=C6-B6</x:f>
      </x:c>
    </x:row>
    <x:row r="7">
      <x:c r="A7">
        <x:v>5</x:v>
      </x:c>
      <x:c r="B7">
        <x:v>0.892</x:v>
      </x:c>
      <x:c r="C7">
        <x:v>0.934</x:v>
      </x:c>
      <x:c r="D7">
        <x:v>65.3</x:v>
      </x:c>
      <x:c r="E7">
        <x:v>62.1</x:v>
      </x:c>
      <x:c r="F7">
        <x:v>0.001</x:v>
      </x:c>
      <x:c r="G7">
        <x:f>=C7-B7</x:f>
      </x:c>
    </x:row>
    <x:row r="8">
      <x:c r="A8">
        <x:v>10</x:v>
      </x:c>
      <x:c r="B8">
        <x:v>0.345</x:v>
      </x:c>
      <x:c r="C8">
        <x:v>0.412</x:v>
      </x:c>
      <x:c r="D8">
        <x:v>87.2</x:v>
      </x:c>
      <x:c r="E8">
        <x:v>84.5</x:v>
      </x:c>
      <x:c r="F8">
        <x:v>0.0005</x:v>
      </x:c>
      <x:c r="G8">
        <x:f>=C8-B8</x:f>
      </x:c>
    </x:row>
    <x:row r="9">
      <x:c r="A9">
        <x:v>20</x:v>
      </x:c>
      <x:c r="B9">
        <x:v>0.156</x:v>
      </x:c>
      <x:c r="C9">
        <x:v>0.198</x:v>
      </x:c>
      <x:c r="D9">
        <x:v>94.2</x:v>
      </x:c>
      <x:c r="E9">
        <x:v>91.3</x:v>
      </x:c>
      <x:c r="F9">
        <x:v>0.0001</x:v>
      </x:c>
      <x:c r="G9">
        <x:f>=C9-B9</x:f>
      </x:c>
    </x:row>
    <x:row r="10">
      <x:c r="A10">
        <x:v>30</x:v>
      </x:c>
      <x:c r="B10">
        <x:v>0.089</x:v>
      </x:c>
      <x:c r="C10">
        <x:v>0.127</x:v>
      </x:c>
      <x:c r="D10">
        <x:v>96.5</x:v>
      </x:c>
      <x:c r="E10">
        <x:v>93.8</x:v>
      </x:c>
      <x:c r="F10">
        <x:v>0.00005</x:v>
      </x:c>
      <x:c r="G10">
        <x:f>=C10-B10</x:f>
      </x:c>
    </x:row>
    <x:row r="11">
      <x:c r="A11">
        <x:v>40</x:v>
      </x:c>
      <x:c r="B11">
        <x:v>0.052</x:v>
      </x:c>
      <x:c r="C11">
        <x:v>0.098</x:v>
      </x:c>
      <x:c r="D11">
        <x:v>97.8</x:v>
      </x:c>
      <x:c r="E11">
        <x:v>94.9</x:v>
      </x:c>
      <x:c r="F11">
        <x:v>0.00001</x:v>
      </x:c>
      <x:c r="G11">
        <x:f>=C11-B11</x:f>
      </x:c>
    </x:row>
    <x:row r="12">
      <x:c r="A12">
        <x:v>50</x:v>
      </x:c>
      <x:c r="B12">
        <x:v>0.031</x:v>
      </x:c>
      <x:c r="C12">
        <x:v>0.084</x:v>
      </x:c>
      <x:c r="D12">
        <x:v>98.6</x:v>
      </x:c>
      <x:c r="E12">
        <x:v>95.5</x:v>
      </x:c>
      <x:c r="F12">
        <x:v>0.000001</x:v>
      </x:c>
      <x:c r="G12">
        <x:f>=C12-B12</x:f>
      </x:c>
    </x:row>
  </sheetData>
</x:worksheet>
</file>

<file path=xl/worksheets/sheet4.xml><?xml version="1.0" encoding="utf-8"?>
<x:worksheet xmlns:x="http://schemas.openxmlformats.org/spreadsheetml/2006/main">
  <sheetData>
    <x:row r="1">
      <x:c r="A1" t="s">
        <x:v>36</x:v>
      </x:c>
    </x:row>
    <x:row r="3">
      <x:c r="A3" t="s">
        <x:v>37</x:v>
      </x:c>
      <x:c r="B3" t="s">
        <x:v>34</x:v>
      </x:c>
      <x:c r="C3" t="s">
        <x:v>38</x:v>
      </x:c>
      <x:c r="D3" t="s">
        <x:v>39</x:v>
      </x:c>
      <x:c r="E3" t="s">
        <x:v>40</x:v>
      </x:c>
      <x:c r="F3" t="s">
        <x:v>41</x:v>
      </x:c>
      <x:c r="G3" t="s">
        <x:v>42</x:v>
      </x:c>
      <x:c r="H3" t="s">
        <x:v>43</x:v>
      </x:c>
    </x:row>
    <x:row r="4">
      <x:c r="A4">
        <x:v>1</x:v>
      </x:c>
      <x:c r="B4">
        <x:v>0.001</x:v>
      </x:c>
      <x:c r="C4">
        <x:v>32</x:v>
      </x:c>
      <x:c r="D4">
        <x:v>0.0001</x:v>
      </x:c>
      <x:c r="E4">
        <x:v>500</x:v>
      </x:c>
      <x:c r="F4">
        <x:v>91.2</x:v>
      </x:c>
      <x:c r="G4">
        <x:v>48</x:v>
      </x:c>
      <x:c r="H4">
        <x:f>=F4/G4</x:f>
      </x:c>
    </x:row>
    <x:row r="5">
      <x:c r="A5">
        <x:v>2</x:v>
      </x:c>
      <x:c r="B5">
        <x:v>0.001</x:v>
      </x:c>
      <x:c r="C5">
        <x:v>64</x:v>
      </x:c>
      <x:c r="D5">
        <x:v>0.0001</x:v>
      </x:c>
      <x:c r="E5">
        <x:v>500</x:v>
      </x:c>
      <x:c r="F5">
        <x:v>92.1</x:v>
      </x:c>
      <x:c r="G5">
        <x:v>45</x:v>
      </x:c>
      <x:c r="H5">
        <x:f>=F5/G5</x:f>
      </x:c>
    </x:row>
    <x:row r="6">
      <x:c r="A6">
        <x:v>3</x:v>
      </x:c>
      <x:c r="B6">
        <x:v>0.001</x:v>
      </x:c>
      <x:c r="C6">
        <x:v>128</x:v>
      </x:c>
      <x:c r="D6">
        <x:v>0.0001</x:v>
      </x:c>
      <x:c r="E6">
        <x:v>500</x:v>
      </x:c>
      <x:c r="F6">
        <x:v>91.8</x:v>
      </x:c>
      <x:c r="G6">
        <x:v>42</x:v>
      </x:c>
      <x:c r="H6">
        <x:f>=F6/G6</x:f>
      </x:c>
    </x:row>
    <x:row r="7">
      <x:c r="A7">
        <x:v>4</x:v>
      </x:c>
      <x:c r="B7">
        <x:v>0.002</x:v>
      </x:c>
      <x:c r="C7">
        <x:v>64</x:v>
      </x:c>
      <x:c r="D7">
        <x:v>0.0001</x:v>
      </x:c>
      <x:c r="E7">
        <x:v>1000</x:v>
      </x:c>
      <x:c r="F7">
        <x:v>93.5</x:v>
      </x:c>
      <x:c r="G7">
        <x:v>46</x:v>
      </x:c>
      <x:c r="H7">
        <x:f>=F7/G7</x:f>
      </x:c>
    </x:row>
    <x:row r="8">
      <x:c r="A8">
        <x:v>5</x:v>
      </x:c>
      <x:c r="B8">
        <x:v>0.002</x:v>
      </x:c>
      <x:c r="C8">
        <x:v>64</x:v>
      </x:c>
      <x:c r="D8">
        <x:v>0.00005</x:v>
      </x:c>
      <x:c r="E8">
        <x:v>1000</x:v>
      </x:c>
      <x:c r="F8">
        <x:v>93.2</x:v>
      </x:c>
      <x:c r="G8">
        <x:v>47</x:v>
      </x:c>
      <x:c r="H8">
        <x:f>=F8/G8</x:f>
      </x:c>
    </x:row>
    <x:row r="9">
      <x:c r="A9">
        <x:v>6</x:v>
      </x:c>
      <x:c r="B9">
        <x:v>0.0005</x:v>
      </x:c>
      <x:c r="C9">
        <x:v>64</x:v>
      </x:c>
      <x:c r="D9">
        <x:v>0.0001</x:v>
      </x:c>
      <x:c r="E9">
        <x:v>500</x:v>
      </x:c>
      <x:c r="F9">
        <x:v>92.8</x:v>
      </x:c>
      <x:c r="G9">
        <x:v>52</x:v>
      </x:c>
      <x:c r="H9">
        <x:f>=F9/G9</x:f>
      </x:c>
    </x:row>
    <x:row r="10">
      <x:c r="A10">
        <x:v>7</x:v>
      </x:c>
      <x:c r="B10">
        <x:v>0.002</x:v>
      </x:c>
      <x:c r="C10">
        <x:v>128</x:v>
      </x:c>
      <x:c r="D10">
        <x:v>0.0001</x:v>
      </x:c>
      <x:c r="E10">
        <x:v>1000</x:v>
      </x:c>
      <x:c r="F10">
        <x:v>94.1</x:v>
      </x:c>
      <x:c r="G10">
        <x:v>44</x:v>
      </x:c>
      <x:c r="H10">
        <x:f>=F10/G10</x:f>
      </x:c>
    </x:row>
    <x:row r="11">
      <x:c r="A11">
        <x:v>8</x:v>
      </x:c>
      <x:c r="B11">
        <x:v>0.002</x:v>
      </x:c>
      <x:c r="C11">
        <x:v>128</x:v>
      </x:c>
      <x:c r="D11">
        <x:v>0.00005</x:v>
      </x:c>
      <x:c r="E11">
        <x:v>1500</x:v>
      </x:c>
      <x:c r="F11">
        <x:v>94.8</x:v>
      </x:c>
      <x:c r="G11">
        <x:v>48.5</x:v>
      </x:c>
      <x:c r="H11">
        <x:f>=F11/G11</x:f>
      </x:c>
    </x:row>
  </sheetData>
</x:worksheet>
</file>